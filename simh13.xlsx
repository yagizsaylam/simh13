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mutcan\Downloads\"/>
    </mc:Choice>
  </mc:AlternateContent>
  <xr:revisionPtr revIDLastSave="0" documentId="13_ncr:1_{1A0A851D-0129-447B-895C-A236879072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uyruk_Simulasyo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I21" i="1" s="1"/>
  <c r="B21" i="1"/>
  <c r="C21" i="1" s="1"/>
  <c r="H20" i="1"/>
  <c r="I20" i="1" s="1"/>
  <c r="B20" i="1"/>
  <c r="C20" i="1" s="1"/>
  <c r="H19" i="1"/>
  <c r="I19" i="1" s="1"/>
  <c r="B19" i="1"/>
  <c r="C19" i="1" s="1"/>
  <c r="H18" i="1"/>
  <c r="I18" i="1" s="1"/>
  <c r="B18" i="1"/>
  <c r="C18" i="1" s="1"/>
  <c r="H17" i="1"/>
  <c r="I17" i="1" s="1"/>
  <c r="B17" i="1"/>
  <c r="C17" i="1" s="1"/>
  <c r="H16" i="1"/>
  <c r="I16" i="1" s="1"/>
  <c r="B16" i="1"/>
  <c r="C16" i="1" s="1"/>
  <c r="H15" i="1"/>
  <c r="I15" i="1" s="1"/>
  <c r="B15" i="1"/>
  <c r="C15" i="1" s="1"/>
  <c r="H14" i="1"/>
  <c r="I14" i="1" s="1"/>
  <c r="B14" i="1"/>
  <c r="C14" i="1" s="1"/>
  <c r="H13" i="1"/>
  <c r="I13" i="1" s="1"/>
  <c r="B13" i="1"/>
  <c r="C13" i="1" s="1"/>
  <c r="H12" i="1"/>
  <c r="I12" i="1" s="1"/>
  <c r="B12" i="1"/>
  <c r="C12" i="1" s="1"/>
  <c r="H11" i="1"/>
  <c r="I11" i="1" s="1"/>
  <c r="B11" i="1"/>
  <c r="C11" i="1" s="1"/>
  <c r="H10" i="1"/>
  <c r="I10" i="1" s="1"/>
  <c r="B10" i="1"/>
  <c r="C10" i="1" s="1"/>
  <c r="H9" i="1"/>
  <c r="I9" i="1" s="1"/>
  <c r="B9" i="1"/>
  <c r="C9" i="1" s="1"/>
  <c r="H8" i="1"/>
  <c r="I8" i="1" s="1"/>
  <c r="B8" i="1"/>
  <c r="C8" i="1" s="1"/>
  <c r="H7" i="1"/>
  <c r="I7" i="1" s="1"/>
  <c r="B7" i="1"/>
  <c r="C7" i="1" s="1"/>
  <c r="H6" i="1"/>
  <c r="I6" i="1" s="1"/>
  <c r="B6" i="1"/>
  <c r="C6" i="1" s="1"/>
  <c r="H5" i="1"/>
  <c r="I5" i="1" s="1"/>
  <c r="B5" i="1"/>
  <c r="C5" i="1" s="1"/>
  <c r="H4" i="1"/>
  <c r="I4" i="1" s="1"/>
  <c r="B4" i="1"/>
  <c r="C4" i="1" s="1"/>
  <c r="H3" i="1"/>
  <c r="I3" i="1" s="1"/>
  <c r="B3" i="1"/>
  <c r="C3" i="1" s="1"/>
  <c r="H2" i="1"/>
  <c r="I2" i="1" s="1"/>
  <c r="B2" i="1"/>
  <c r="C2" i="1" s="1"/>
  <c r="D2" i="1" s="1"/>
  <c r="I22" i="1" l="1"/>
  <c r="G2" i="1"/>
  <c r="D3" i="1"/>
  <c r="E2" i="1"/>
  <c r="F2" i="1" l="1"/>
  <c r="J2" i="1"/>
  <c r="K2" i="1" s="1"/>
  <c r="D4" i="1"/>
  <c r="E3" i="1" l="1"/>
  <c r="J3" i="1" s="1"/>
  <c r="K3" i="1" s="1"/>
  <c r="D5" i="1"/>
  <c r="G3" i="1"/>
  <c r="F3" i="1" l="1"/>
  <c r="G4" i="1"/>
  <c r="D6" i="1"/>
  <c r="E4" i="1"/>
  <c r="J4" i="1" l="1"/>
  <c r="F4" i="1"/>
  <c r="D7" i="1"/>
  <c r="D8" i="1" l="1"/>
  <c r="K4" i="1"/>
  <c r="E5" i="1"/>
  <c r="G5" i="1"/>
  <c r="D9" i="1" l="1"/>
  <c r="J5" i="1"/>
  <c r="F5" i="1"/>
  <c r="D10" i="1" l="1"/>
  <c r="K5" i="1"/>
  <c r="E6" i="1"/>
  <c r="G6" i="1"/>
  <c r="F6" i="1" l="1"/>
  <c r="J6" i="1"/>
  <c r="D11" i="1"/>
  <c r="D12" i="1" l="1"/>
  <c r="K6" i="1"/>
  <c r="G7" i="1"/>
  <c r="E7" i="1"/>
  <c r="F7" i="1" l="1"/>
  <c r="J7" i="1"/>
  <c r="D13" i="1"/>
  <c r="D14" i="1" l="1"/>
  <c r="K7" i="1"/>
  <c r="E8" i="1"/>
  <c r="G8" i="1"/>
  <c r="J8" i="1" l="1"/>
  <c r="F8" i="1"/>
  <c r="D15" i="1"/>
  <c r="K8" i="1" l="1"/>
  <c r="E9" i="1"/>
  <c r="G9" i="1"/>
  <c r="D16" i="1"/>
  <c r="D17" i="1" l="1"/>
  <c r="J9" i="1"/>
  <c r="F9" i="1"/>
  <c r="K9" i="1" l="1"/>
  <c r="G10" i="1"/>
  <c r="E10" i="1"/>
  <c r="D18" i="1"/>
  <c r="D19" i="1" l="1"/>
  <c r="F10" i="1"/>
  <c r="J10" i="1"/>
  <c r="K10" i="1" l="1"/>
  <c r="G11" i="1"/>
  <c r="E11" i="1"/>
  <c r="D20" i="1"/>
  <c r="D21" i="1" l="1"/>
  <c r="F11" i="1"/>
  <c r="J11" i="1"/>
  <c r="K11" i="1" l="1"/>
  <c r="E12" i="1"/>
  <c r="G12" i="1"/>
  <c r="J12" i="1" l="1"/>
  <c r="F12" i="1"/>
  <c r="K12" i="1" l="1"/>
  <c r="E13" i="1"/>
  <c r="G13" i="1"/>
  <c r="J13" i="1" l="1"/>
  <c r="F13" i="1"/>
  <c r="K13" i="1" l="1"/>
  <c r="G14" i="1"/>
  <c r="E14" i="1"/>
  <c r="F14" i="1" l="1"/>
  <c r="J14" i="1"/>
  <c r="K14" i="1" l="1"/>
  <c r="E15" i="1"/>
  <c r="G15" i="1"/>
  <c r="F15" i="1" l="1"/>
  <c r="J15" i="1"/>
  <c r="K15" i="1" l="1"/>
  <c r="G16" i="1"/>
  <c r="E16" i="1"/>
  <c r="J16" i="1" l="1"/>
  <c r="F16" i="1"/>
  <c r="K16" i="1" l="1"/>
  <c r="E17" i="1"/>
  <c r="G17" i="1"/>
  <c r="J17" i="1" l="1"/>
  <c r="F17" i="1"/>
  <c r="K17" i="1" l="1"/>
  <c r="G18" i="1"/>
  <c r="E18" i="1"/>
  <c r="F18" i="1" l="1"/>
  <c r="J18" i="1"/>
  <c r="K18" i="1" l="1"/>
  <c r="E19" i="1"/>
  <c r="G19" i="1"/>
  <c r="F19" i="1" l="1"/>
  <c r="J19" i="1"/>
  <c r="K19" i="1" l="1"/>
  <c r="E20" i="1"/>
  <c r="G20" i="1"/>
  <c r="J20" i="1" l="1"/>
  <c r="F20" i="1"/>
  <c r="K20" i="1" l="1"/>
  <c r="E21" i="1"/>
  <c r="G21" i="1"/>
  <c r="J21" i="1" l="1"/>
  <c r="F26" i="1" s="1"/>
  <c r="F28" i="1" s="1"/>
  <c r="F21" i="1"/>
  <c r="K21" i="1" l="1"/>
  <c r="F23" i="1" s="1"/>
</calcChain>
</file>

<file path=xl/sharedStrings.xml><?xml version="1.0" encoding="utf-8"?>
<sst xmlns="http://schemas.openxmlformats.org/spreadsheetml/2006/main" count="14" uniqueCount="14">
  <si>
    <t>Parça No</t>
  </si>
  <si>
    <t>Rassal Sayı r1</t>
  </si>
  <si>
    <t>Varışlar Arası Zaman</t>
  </si>
  <si>
    <t>Varış Zamanı</t>
  </si>
  <si>
    <t>İşleme Başlama</t>
  </si>
  <si>
    <t>Bekleme Süresi</t>
  </si>
  <si>
    <t>Makine Boş Kalma</t>
  </si>
  <si>
    <t>Rassal Sayı r2</t>
  </si>
  <si>
    <t>Hizmet Süresi</t>
  </si>
  <si>
    <t>İş Bitimi</t>
  </si>
  <si>
    <t>Sistemde Geçen Süre</t>
  </si>
  <si>
    <t>parçanın sistemde geçirdiği ortalama süre</t>
  </si>
  <si>
    <t>Makinenin Doluluk Yüzdesi</t>
  </si>
  <si>
    <t>Makinenin Boş Kalma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</si>
</sst>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A7" workbookViewId="0">
      <selection activeCell="G26" sqref="G2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f t="shared" ref="B2:B21" ca="1" si="0">RANDBETWEEN(0,99)</f>
        <v>57</v>
      </c>
      <c r="C2">
        <f t="shared" ref="C2:C21" ca="1" si="1">IF(B2&lt;40,6,IF(B2&lt;70,8,10))</f>
        <v>8</v>
      </c>
      <c r="D2">
        <f t="shared" ref="D2:D21" ca="1" si="2">IF(A2=1,C2,D1+C2)</f>
        <v>8</v>
      </c>
      <c r="E2">
        <f t="shared" ref="E2:E21" ca="1" si="3">IF(A2=1,D2,MAX(D2,J1))</f>
        <v>8</v>
      </c>
      <c r="F2">
        <f t="shared" ref="F2:F21" ca="1" si="4">E2-D2</f>
        <v>0</v>
      </c>
      <c r="G2" t="e">
        <f t="shared" ref="G2:G21" ca="1" si="5">MAX(0,D2-J1)</f>
        <v>#VALUE!</v>
      </c>
      <c r="H2">
        <f t="shared" ref="H2:H21" ca="1" si="6">RANDBETWEEN(0,99)</f>
        <v>87</v>
      </c>
      <c r="I2">
        <f t="shared" ref="I2:I21" ca="1" si="7">IF(H2&lt;40,6,IF(H2&lt;70,8,10))</f>
        <v>10</v>
      </c>
      <c r="J2">
        <f t="shared" ref="J2:J21" ca="1" si="8">E2+I2</f>
        <v>18</v>
      </c>
      <c r="K2">
        <f t="shared" ref="K2:K21" ca="1" si="9">J2-D2</f>
        <v>10</v>
      </c>
    </row>
    <row r="3" spans="1:11" x14ac:dyDescent="0.25">
      <c r="A3">
        <v>2</v>
      </c>
      <c r="B3">
        <f t="shared" ca="1" si="0"/>
        <v>71</v>
      </c>
      <c r="C3">
        <f t="shared" ca="1" si="1"/>
        <v>10</v>
      </c>
      <c r="D3">
        <f t="shared" ca="1" si="2"/>
        <v>18</v>
      </c>
      <c r="E3">
        <f t="shared" ca="1" si="3"/>
        <v>18</v>
      </c>
      <c r="F3">
        <f t="shared" ca="1" si="4"/>
        <v>0</v>
      </c>
      <c r="G3">
        <f t="shared" ca="1" si="5"/>
        <v>0</v>
      </c>
      <c r="H3">
        <f t="shared" ca="1" si="6"/>
        <v>30</v>
      </c>
      <c r="I3">
        <f t="shared" ca="1" si="7"/>
        <v>6</v>
      </c>
      <c r="J3">
        <f t="shared" ca="1" si="8"/>
        <v>24</v>
      </c>
      <c r="K3">
        <f t="shared" ca="1" si="9"/>
        <v>6</v>
      </c>
    </row>
    <row r="4" spans="1:11" x14ac:dyDescent="0.25">
      <c r="A4">
        <v>3</v>
      </c>
      <c r="B4">
        <f t="shared" ca="1" si="0"/>
        <v>66</v>
      </c>
      <c r="C4">
        <f t="shared" ca="1" si="1"/>
        <v>8</v>
      </c>
      <c r="D4">
        <f t="shared" ca="1" si="2"/>
        <v>26</v>
      </c>
      <c r="E4">
        <f t="shared" ca="1" si="3"/>
        <v>26</v>
      </c>
      <c r="F4">
        <f t="shared" ca="1" si="4"/>
        <v>0</v>
      </c>
      <c r="G4">
        <f t="shared" ca="1" si="5"/>
        <v>2</v>
      </c>
      <c r="H4">
        <f t="shared" ca="1" si="6"/>
        <v>37</v>
      </c>
      <c r="I4">
        <f t="shared" ca="1" si="7"/>
        <v>6</v>
      </c>
      <c r="J4">
        <f t="shared" ca="1" si="8"/>
        <v>32</v>
      </c>
      <c r="K4">
        <f t="shared" ca="1" si="9"/>
        <v>6</v>
      </c>
    </row>
    <row r="5" spans="1:11" x14ac:dyDescent="0.25">
      <c r="A5">
        <v>4</v>
      </c>
      <c r="B5">
        <f t="shared" ca="1" si="0"/>
        <v>91</v>
      </c>
      <c r="C5">
        <f t="shared" ca="1" si="1"/>
        <v>10</v>
      </c>
      <c r="D5">
        <f t="shared" ca="1" si="2"/>
        <v>36</v>
      </c>
      <c r="E5">
        <f t="shared" ca="1" si="3"/>
        <v>36</v>
      </c>
      <c r="F5">
        <f t="shared" ca="1" si="4"/>
        <v>0</v>
      </c>
      <c r="G5">
        <f t="shared" ca="1" si="5"/>
        <v>4</v>
      </c>
      <c r="H5">
        <f t="shared" ca="1" si="6"/>
        <v>17</v>
      </c>
      <c r="I5">
        <f t="shared" ca="1" si="7"/>
        <v>6</v>
      </c>
      <c r="J5">
        <f t="shared" ca="1" si="8"/>
        <v>42</v>
      </c>
      <c r="K5">
        <f t="shared" ca="1" si="9"/>
        <v>6</v>
      </c>
    </row>
    <row r="6" spans="1:11" x14ac:dyDescent="0.25">
      <c r="A6">
        <v>5</v>
      </c>
      <c r="B6">
        <f t="shared" ca="1" si="0"/>
        <v>29</v>
      </c>
      <c r="C6">
        <f t="shared" ca="1" si="1"/>
        <v>6</v>
      </c>
      <c r="D6">
        <f t="shared" ca="1" si="2"/>
        <v>42</v>
      </c>
      <c r="E6">
        <f t="shared" ca="1" si="3"/>
        <v>42</v>
      </c>
      <c r="F6">
        <f t="shared" ca="1" si="4"/>
        <v>0</v>
      </c>
      <c r="G6">
        <f t="shared" ca="1" si="5"/>
        <v>0</v>
      </c>
      <c r="H6">
        <f t="shared" ca="1" si="6"/>
        <v>22</v>
      </c>
      <c r="I6">
        <f t="shared" ca="1" si="7"/>
        <v>6</v>
      </c>
      <c r="J6">
        <f t="shared" ca="1" si="8"/>
        <v>48</v>
      </c>
      <c r="K6">
        <f t="shared" ca="1" si="9"/>
        <v>6</v>
      </c>
    </row>
    <row r="7" spans="1:11" x14ac:dyDescent="0.25">
      <c r="A7">
        <v>6</v>
      </c>
      <c r="B7">
        <f t="shared" ca="1" si="0"/>
        <v>22</v>
      </c>
      <c r="C7">
        <f t="shared" ca="1" si="1"/>
        <v>6</v>
      </c>
      <c r="D7">
        <f t="shared" ca="1" si="2"/>
        <v>48</v>
      </c>
      <c r="E7">
        <f t="shared" ca="1" si="3"/>
        <v>48</v>
      </c>
      <c r="F7">
        <f t="shared" ca="1" si="4"/>
        <v>0</v>
      </c>
      <c r="G7">
        <f t="shared" ca="1" si="5"/>
        <v>0</v>
      </c>
      <c r="H7">
        <f t="shared" ca="1" si="6"/>
        <v>25</v>
      </c>
      <c r="I7">
        <f t="shared" ca="1" si="7"/>
        <v>6</v>
      </c>
      <c r="J7">
        <f t="shared" ca="1" si="8"/>
        <v>54</v>
      </c>
      <c r="K7">
        <f t="shared" ca="1" si="9"/>
        <v>6</v>
      </c>
    </row>
    <row r="8" spans="1:11" x14ac:dyDescent="0.25">
      <c r="A8">
        <v>7</v>
      </c>
      <c r="B8">
        <f t="shared" ca="1" si="0"/>
        <v>47</v>
      </c>
      <c r="C8">
        <f t="shared" ca="1" si="1"/>
        <v>8</v>
      </c>
      <c r="D8">
        <f t="shared" ca="1" si="2"/>
        <v>56</v>
      </c>
      <c r="E8">
        <f t="shared" ca="1" si="3"/>
        <v>56</v>
      </c>
      <c r="F8">
        <f t="shared" ca="1" si="4"/>
        <v>0</v>
      </c>
      <c r="G8">
        <f t="shared" ca="1" si="5"/>
        <v>2</v>
      </c>
      <c r="H8">
        <f t="shared" ca="1" si="6"/>
        <v>36</v>
      </c>
      <c r="I8">
        <f t="shared" ca="1" si="7"/>
        <v>6</v>
      </c>
      <c r="J8">
        <f t="shared" ca="1" si="8"/>
        <v>62</v>
      </c>
      <c r="K8">
        <f t="shared" ca="1" si="9"/>
        <v>6</v>
      </c>
    </row>
    <row r="9" spans="1:11" x14ac:dyDescent="0.25">
      <c r="A9">
        <v>8</v>
      </c>
      <c r="B9">
        <f t="shared" ca="1" si="0"/>
        <v>14</v>
      </c>
      <c r="C9">
        <f t="shared" ca="1" si="1"/>
        <v>6</v>
      </c>
      <c r="D9">
        <f t="shared" ca="1" si="2"/>
        <v>62</v>
      </c>
      <c r="E9">
        <f t="shared" ca="1" si="3"/>
        <v>62</v>
      </c>
      <c r="F9">
        <f t="shared" ca="1" si="4"/>
        <v>0</v>
      </c>
      <c r="G9">
        <f t="shared" ca="1" si="5"/>
        <v>0</v>
      </c>
      <c r="H9">
        <f t="shared" ca="1" si="6"/>
        <v>28</v>
      </c>
      <c r="I9">
        <f t="shared" ca="1" si="7"/>
        <v>6</v>
      </c>
      <c r="J9">
        <f t="shared" ca="1" si="8"/>
        <v>68</v>
      </c>
      <c r="K9">
        <f t="shared" ca="1" si="9"/>
        <v>6</v>
      </c>
    </row>
    <row r="10" spans="1:11" x14ac:dyDescent="0.25">
      <c r="A10">
        <v>9</v>
      </c>
      <c r="B10">
        <f t="shared" ca="1" si="0"/>
        <v>28</v>
      </c>
      <c r="C10">
        <f t="shared" ca="1" si="1"/>
        <v>6</v>
      </c>
      <c r="D10">
        <f t="shared" ca="1" si="2"/>
        <v>68</v>
      </c>
      <c r="E10">
        <f t="shared" ca="1" si="3"/>
        <v>68</v>
      </c>
      <c r="F10">
        <f t="shared" ca="1" si="4"/>
        <v>0</v>
      </c>
      <c r="G10">
        <f t="shared" ca="1" si="5"/>
        <v>0</v>
      </c>
      <c r="H10">
        <f t="shared" ca="1" si="6"/>
        <v>42</v>
      </c>
      <c r="I10">
        <f t="shared" ca="1" si="7"/>
        <v>8</v>
      </c>
      <c r="J10">
        <f t="shared" ca="1" si="8"/>
        <v>76</v>
      </c>
      <c r="K10">
        <f t="shared" ca="1" si="9"/>
        <v>8</v>
      </c>
    </row>
    <row r="11" spans="1:11" x14ac:dyDescent="0.25">
      <c r="A11">
        <v>10</v>
      </c>
      <c r="B11">
        <f t="shared" ca="1" si="0"/>
        <v>9</v>
      </c>
      <c r="C11">
        <f t="shared" ca="1" si="1"/>
        <v>6</v>
      </c>
      <c r="D11">
        <f t="shared" ca="1" si="2"/>
        <v>74</v>
      </c>
      <c r="E11">
        <f t="shared" ca="1" si="3"/>
        <v>76</v>
      </c>
      <c r="F11">
        <f t="shared" ca="1" si="4"/>
        <v>2</v>
      </c>
      <c r="G11">
        <f t="shared" ca="1" si="5"/>
        <v>0</v>
      </c>
      <c r="H11">
        <f t="shared" ca="1" si="6"/>
        <v>0</v>
      </c>
      <c r="I11">
        <f t="shared" ca="1" si="7"/>
        <v>6</v>
      </c>
      <c r="J11">
        <f t="shared" ca="1" si="8"/>
        <v>82</v>
      </c>
      <c r="K11">
        <f t="shared" ca="1" si="9"/>
        <v>8</v>
      </c>
    </row>
    <row r="12" spans="1:11" x14ac:dyDescent="0.25">
      <c r="A12">
        <v>11</v>
      </c>
      <c r="B12">
        <f t="shared" ca="1" si="0"/>
        <v>48</v>
      </c>
      <c r="C12">
        <f t="shared" ca="1" si="1"/>
        <v>8</v>
      </c>
      <c r="D12">
        <f t="shared" ca="1" si="2"/>
        <v>82</v>
      </c>
      <c r="E12">
        <f t="shared" ca="1" si="3"/>
        <v>82</v>
      </c>
      <c r="F12">
        <f t="shared" ca="1" si="4"/>
        <v>0</v>
      </c>
      <c r="G12">
        <f t="shared" ca="1" si="5"/>
        <v>0</v>
      </c>
      <c r="H12">
        <f t="shared" ca="1" si="6"/>
        <v>35</v>
      </c>
      <c r="I12">
        <f t="shared" ca="1" si="7"/>
        <v>6</v>
      </c>
      <c r="J12">
        <f t="shared" ca="1" si="8"/>
        <v>88</v>
      </c>
      <c r="K12">
        <f t="shared" ca="1" si="9"/>
        <v>6</v>
      </c>
    </row>
    <row r="13" spans="1:11" x14ac:dyDescent="0.25">
      <c r="A13">
        <v>12</v>
      </c>
      <c r="B13">
        <f t="shared" ca="1" si="0"/>
        <v>5</v>
      </c>
      <c r="C13">
        <f t="shared" ca="1" si="1"/>
        <v>6</v>
      </c>
      <c r="D13">
        <f t="shared" ca="1" si="2"/>
        <v>88</v>
      </c>
      <c r="E13">
        <f t="shared" ca="1" si="3"/>
        <v>88</v>
      </c>
      <c r="F13">
        <f t="shared" ca="1" si="4"/>
        <v>0</v>
      </c>
      <c r="G13">
        <f t="shared" ca="1" si="5"/>
        <v>0</v>
      </c>
      <c r="H13">
        <f t="shared" ca="1" si="6"/>
        <v>39</v>
      </c>
      <c r="I13">
        <f t="shared" ca="1" si="7"/>
        <v>6</v>
      </c>
      <c r="J13">
        <f t="shared" ca="1" si="8"/>
        <v>94</v>
      </c>
      <c r="K13">
        <f t="shared" ca="1" si="9"/>
        <v>6</v>
      </c>
    </row>
    <row r="14" spans="1:11" x14ac:dyDescent="0.25">
      <c r="A14">
        <v>13</v>
      </c>
      <c r="B14">
        <f t="shared" ca="1" si="0"/>
        <v>42</v>
      </c>
      <c r="C14">
        <f t="shared" ca="1" si="1"/>
        <v>8</v>
      </c>
      <c r="D14">
        <f t="shared" ca="1" si="2"/>
        <v>96</v>
      </c>
      <c r="E14">
        <f t="shared" ca="1" si="3"/>
        <v>96</v>
      </c>
      <c r="F14">
        <f t="shared" ca="1" si="4"/>
        <v>0</v>
      </c>
      <c r="G14">
        <f t="shared" ca="1" si="5"/>
        <v>2</v>
      </c>
      <c r="H14">
        <f t="shared" ca="1" si="6"/>
        <v>96</v>
      </c>
      <c r="I14">
        <f t="shared" ca="1" si="7"/>
        <v>10</v>
      </c>
      <c r="J14">
        <f t="shared" ca="1" si="8"/>
        <v>106</v>
      </c>
      <c r="K14">
        <f t="shared" ca="1" si="9"/>
        <v>10</v>
      </c>
    </row>
    <row r="15" spans="1:11" x14ac:dyDescent="0.25">
      <c r="A15">
        <v>14</v>
      </c>
      <c r="B15">
        <f t="shared" ca="1" si="0"/>
        <v>73</v>
      </c>
      <c r="C15">
        <f t="shared" ca="1" si="1"/>
        <v>10</v>
      </c>
      <c r="D15">
        <f t="shared" ca="1" si="2"/>
        <v>106</v>
      </c>
      <c r="E15">
        <f t="shared" ca="1" si="3"/>
        <v>106</v>
      </c>
      <c r="F15">
        <f t="shared" ca="1" si="4"/>
        <v>0</v>
      </c>
      <c r="G15">
        <f t="shared" ca="1" si="5"/>
        <v>0</v>
      </c>
      <c r="H15">
        <f t="shared" ca="1" si="6"/>
        <v>92</v>
      </c>
      <c r="I15">
        <f t="shared" ca="1" si="7"/>
        <v>10</v>
      </c>
      <c r="J15">
        <f t="shared" ca="1" si="8"/>
        <v>116</v>
      </c>
      <c r="K15">
        <f t="shared" ca="1" si="9"/>
        <v>10</v>
      </c>
    </row>
    <row r="16" spans="1:11" x14ac:dyDescent="0.25">
      <c r="A16">
        <v>15</v>
      </c>
      <c r="B16">
        <f t="shared" ca="1" si="0"/>
        <v>84</v>
      </c>
      <c r="C16">
        <f t="shared" ca="1" si="1"/>
        <v>10</v>
      </c>
      <c r="D16">
        <f t="shared" ca="1" si="2"/>
        <v>116</v>
      </c>
      <c r="E16">
        <f t="shared" ca="1" si="3"/>
        <v>116</v>
      </c>
      <c r="F16">
        <f t="shared" ca="1" si="4"/>
        <v>0</v>
      </c>
      <c r="G16">
        <f t="shared" ca="1" si="5"/>
        <v>0</v>
      </c>
      <c r="H16">
        <f t="shared" ca="1" si="6"/>
        <v>12</v>
      </c>
      <c r="I16">
        <f t="shared" ca="1" si="7"/>
        <v>6</v>
      </c>
      <c r="J16">
        <f t="shared" ca="1" si="8"/>
        <v>122</v>
      </c>
      <c r="K16">
        <f t="shared" ca="1" si="9"/>
        <v>6</v>
      </c>
    </row>
    <row r="17" spans="1:11" x14ac:dyDescent="0.25">
      <c r="A17">
        <v>16</v>
      </c>
      <c r="B17">
        <f t="shared" ca="1" si="0"/>
        <v>98</v>
      </c>
      <c r="C17">
        <f t="shared" ca="1" si="1"/>
        <v>10</v>
      </c>
      <c r="D17">
        <f t="shared" ca="1" si="2"/>
        <v>126</v>
      </c>
      <c r="E17">
        <f t="shared" ca="1" si="3"/>
        <v>126</v>
      </c>
      <c r="F17">
        <f t="shared" ca="1" si="4"/>
        <v>0</v>
      </c>
      <c r="G17">
        <f t="shared" ca="1" si="5"/>
        <v>4</v>
      </c>
      <c r="H17">
        <f t="shared" ca="1" si="6"/>
        <v>57</v>
      </c>
      <c r="I17">
        <f t="shared" ca="1" si="7"/>
        <v>8</v>
      </c>
      <c r="J17">
        <f t="shared" ca="1" si="8"/>
        <v>134</v>
      </c>
      <c r="K17">
        <f t="shared" ca="1" si="9"/>
        <v>8</v>
      </c>
    </row>
    <row r="18" spans="1:11" x14ac:dyDescent="0.25">
      <c r="A18">
        <v>17</v>
      </c>
      <c r="B18">
        <f t="shared" ca="1" si="0"/>
        <v>23</v>
      </c>
      <c r="C18">
        <f t="shared" ca="1" si="1"/>
        <v>6</v>
      </c>
      <c r="D18">
        <f t="shared" ca="1" si="2"/>
        <v>132</v>
      </c>
      <c r="E18">
        <f t="shared" ca="1" si="3"/>
        <v>134</v>
      </c>
      <c r="F18">
        <f t="shared" ca="1" si="4"/>
        <v>2</v>
      </c>
      <c r="G18">
        <f t="shared" ca="1" si="5"/>
        <v>0</v>
      </c>
      <c r="H18">
        <f t="shared" ca="1" si="6"/>
        <v>74</v>
      </c>
      <c r="I18">
        <f t="shared" ca="1" si="7"/>
        <v>10</v>
      </c>
      <c r="J18">
        <f t="shared" ca="1" si="8"/>
        <v>144</v>
      </c>
      <c r="K18">
        <f t="shared" ca="1" si="9"/>
        <v>12</v>
      </c>
    </row>
    <row r="19" spans="1:11" x14ac:dyDescent="0.25">
      <c r="A19">
        <v>18</v>
      </c>
      <c r="B19">
        <f t="shared" ca="1" si="0"/>
        <v>17</v>
      </c>
      <c r="C19">
        <f t="shared" ca="1" si="1"/>
        <v>6</v>
      </c>
      <c r="D19">
        <f t="shared" ca="1" si="2"/>
        <v>138</v>
      </c>
      <c r="E19">
        <f t="shared" ca="1" si="3"/>
        <v>144</v>
      </c>
      <c r="F19">
        <f t="shared" ca="1" si="4"/>
        <v>6</v>
      </c>
      <c r="G19">
        <f t="shared" ca="1" si="5"/>
        <v>0</v>
      </c>
      <c r="H19">
        <f t="shared" ca="1" si="6"/>
        <v>21</v>
      </c>
      <c r="I19">
        <f t="shared" ca="1" si="7"/>
        <v>6</v>
      </c>
      <c r="J19">
        <f t="shared" ca="1" si="8"/>
        <v>150</v>
      </c>
      <c r="K19">
        <f t="shared" ca="1" si="9"/>
        <v>12</v>
      </c>
    </row>
    <row r="20" spans="1:11" x14ac:dyDescent="0.25">
      <c r="A20">
        <v>19</v>
      </c>
      <c r="B20">
        <f t="shared" ca="1" si="0"/>
        <v>52</v>
      </c>
      <c r="C20">
        <f t="shared" ca="1" si="1"/>
        <v>8</v>
      </c>
      <c r="D20">
        <f t="shared" ca="1" si="2"/>
        <v>146</v>
      </c>
      <c r="E20">
        <f t="shared" ca="1" si="3"/>
        <v>150</v>
      </c>
      <c r="F20">
        <f t="shared" ca="1" si="4"/>
        <v>4</v>
      </c>
      <c r="G20">
        <f t="shared" ca="1" si="5"/>
        <v>0</v>
      </c>
      <c r="H20">
        <f t="shared" ca="1" si="6"/>
        <v>96</v>
      </c>
      <c r="I20">
        <f t="shared" ca="1" si="7"/>
        <v>10</v>
      </c>
      <c r="J20">
        <f t="shared" ca="1" si="8"/>
        <v>160</v>
      </c>
      <c r="K20">
        <f t="shared" ca="1" si="9"/>
        <v>14</v>
      </c>
    </row>
    <row r="21" spans="1:11" x14ac:dyDescent="0.25">
      <c r="A21">
        <v>20</v>
      </c>
      <c r="B21">
        <f t="shared" ca="1" si="0"/>
        <v>95</v>
      </c>
      <c r="C21">
        <f t="shared" ca="1" si="1"/>
        <v>10</v>
      </c>
      <c r="D21">
        <f t="shared" ca="1" si="2"/>
        <v>156</v>
      </c>
      <c r="E21">
        <f t="shared" ca="1" si="3"/>
        <v>160</v>
      </c>
      <c r="F21">
        <f t="shared" ca="1" si="4"/>
        <v>4</v>
      </c>
      <c r="G21">
        <f t="shared" ca="1" si="5"/>
        <v>0</v>
      </c>
      <c r="H21">
        <f t="shared" ca="1" si="6"/>
        <v>50</v>
      </c>
      <c r="I21">
        <f t="shared" ca="1" si="7"/>
        <v>8</v>
      </c>
      <c r="J21">
        <f t="shared" ca="1" si="8"/>
        <v>168</v>
      </c>
      <c r="K21">
        <f t="shared" ca="1" si="9"/>
        <v>12</v>
      </c>
    </row>
    <row r="22" spans="1:11" x14ac:dyDescent="0.25">
      <c r="I22">
        <f ca="1">SUM(I2:I21)</f>
        <v>146</v>
      </c>
    </row>
    <row r="23" spans="1:11" x14ac:dyDescent="0.25">
      <c r="A23" t="s">
        <v>11</v>
      </c>
      <c r="F23">
        <f ca="1">(F21+K21)/2</f>
        <v>8</v>
      </c>
    </row>
    <row r="26" spans="1:11" x14ac:dyDescent="0.25">
      <c r="A26" t="s">
        <v>12</v>
      </c>
      <c r="F26">
        <f ca="1">(I22/J21)*100</f>
        <v>86.904761904761912</v>
      </c>
    </row>
    <row r="28" spans="1:11" x14ac:dyDescent="0.25">
      <c r="A28" t="s">
        <v>13</v>
      </c>
      <c r="F28">
        <f ca="1">(100-F26)</f>
        <v>13.095238095238088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Kuyruk_Simulasyonu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UMUT CAN GÜZEL</cp:lastModifiedBy>
  <dcterms:created xsi:type="dcterms:W3CDTF">2025-12-19T17:58:47Z</dcterms:created>
  <dcterms:modified xsi:type="dcterms:W3CDTF">2025-12-19T18:13:06Z</dcterms:modified>
</cp:coreProperties>
</file>